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07e6de019e907852/大三下/信息检索 IR/COMP3009J-Information-Retrieval/课件/Lecture 5 BM25 and Evaluation Part 1/"/>
    </mc:Choice>
  </mc:AlternateContent>
  <xr:revisionPtr revIDLastSave="283" documentId="8_{79CECB95-9E57-B744-ADB6-58B00DCACDF1}" xr6:coauthVersionLast="47" xr6:coauthVersionMax="47" xr10:uidLastSave="{6DF4A4EF-DFCF-FA49-87CE-BB50C9240D7C}"/>
  <bookViews>
    <workbookView xWindow="-98" yWindow="-98" windowWidth="21795" windowHeight="13875" xr2:uid="{DDFA407A-064D-B243-B6BA-A006F5C40FDC}"/>
  </bookViews>
  <sheets>
    <sheet name="BM25 Calc" sheetId="4" r:id="rId1"/>
    <sheet name="Bij" sheetId="1" r:id="rId2"/>
    <sheet name="IDF" sheetId="3" r:id="rId3"/>
    <sheet name="TF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B4" i="3"/>
  <c r="C4" i="3"/>
  <c r="D4" i="3"/>
  <c r="E4" i="3"/>
  <c r="F4" i="3"/>
  <c r="G4" i="3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  <c r="B8" i="3"/>
  <c r="C8" i="3"/>
  <c r="D8" i="3"/>
  <c r="E8" i="3"/>
  <c r="F8" i="3"/>
  <c r="G8" i="3"/>
  <c r="C9" i="3"/>
  <c r="D9" i="3"/>
  <c r="E9" i="3"/>
  <c r="F9" i="3"/>
  <c r="G9" i="3"/>
  <c r="D10" i="3"/>
  <c r="E10" i="3"/>
  <c r="F10" i="3"/>
  <c r="G10" i="3"/>
  <c r="E11" i="3"/>
  <c r="F11" i="3"/>
  <c r="G11" i="3"/>
  <c r="C2" i="3"/>
  <c r="D2" i="3"/>
  <c r="E2" i="3"/>
  <c r="F2" i="3"/>
  <c r="G2" i="3"/>
  <c r="B2" i="3"/>
  <c r="K13" i="4"/>
  <c r="R13" i="4"/>
  <c r="D13" i="4"/>
  <c r="B10" i="4"/>
  <c r="B2" i="1"/>
  <c r="Z10" i="4"/>
  <c r="Z9" i="4"/>
  <c r="W10" i="4"/>
  <c r="W9" i="4"/>
  <c r="W11" i="4" s="1"/>
  <c r="W13" i="4" s="1"/>
  <c r="S10" i="4"/>
  <c r="S9" i="4"/>
  <c r="S11" i="4" s="1"/>
  <c r="P10" i="4"/>
  <c r="P9" i="4"/>
  <c r="P11" i="4" s="1"/>
  <c r="P13" i="4" s="1"/>
  <c r="L10" i="4"/>
  <c r="L9" i="4"/>
  <c r="L11" i="4" s="1"/>
  <c r="I10" i="4"/>
  <c r="I9" i="4"/>
  <c r="E10" i="4"/>
  <c r="E9" i="4"/>
  <c r="E11" i="4" s="1"/>
  <c r="B9" i="4"/>
  <c r="C2" i="1"/>
  <c r="D2" i="1"/>
  <c r="E2" i="1"/>
  <c r="F2" i="1"/>
  <c r="G2" i="1"/>
  <c r="H2" i="1"/>
  <c r="I2" i="1"/>
  <c r="J2" i="1"/>
  <c r="K2" i="1"/>
  <c r="C3" i="1"/>
  <c r="D3" i="1"/>
  <c r="E3" i="1"/>
  <c r="F3" i="1"/>
  <c r="G3" i="1"/>
  <c r="H3" i="1"/>
  <c r="I3" i="1"/>
  <c r="J3" i="1"/>
  <c r="K3" i="1"/>
  <c r="C4" i="1"/>
  <c r="D4" i="1"/>
  <c r="E4" i="1"/>
  <c r="F4" i="1"/>
  <c r="G4" i="1"/>
  <c r="H4" i="1"/>
  <c r="I4" i="1"/>
  <c r="J4" i="1"/>
  <c r="K4" i="1"/>
  <c r="C5" i="1"/>
  <c r="D5" i="1"/>
  <c r="E5" i="1"/>
  <c r="F5" i="1"/>
  <c r="G5" i="1"/>
  <c r="H5" i="1"/>
  <c r="I5" i="1"/>
  <c r="J5" i="1"/>
  <c r="K5" i="1"/>
  <c r="C6" i="1"/>
  <c r="D6" i="1"/>
  <c r="E6" i="1"/>
  <c r="F6" i="1"/>
  <c r="G6" i="1"/>
  <c r="H6" i="1"/>
  <c r="I6" i="1"/>
  <c r="J6" i="1"/>
  <c r="K6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B3" i="1"/>
  <c r="B4" i="1"/>
  <c r="B5" i="1"/>
  <c r="B6" i="1"/>
  <c r="B7" i="1"/>
  <c r="B8" i="1"/>
  <c r="B9" i="1"/>
  <c r="B10" i="1"/>
  <c r="B11" i="1"/>
  <c r="B12" i="1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C2" i="2"/>
  <c r="D2" i="2"/>
  <c r="E2" i="2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B3" i="2"/>
  <c r="B4" i="2"/>
  <c r="B5" i="2"/>
  <c r="B6" i="2"/>
  <c r="B7" i="2"/>
  <c r="B8" i="2"/>
  <c r="B9" i="2"/>
  <c r="B10" i="2"/>
  <c r="B11" i="2"/>
  <c r="B12" i="2"/>
  <c r="B2" i="2"/>
  <c r="I11" i="4" l="1"/>
  <c r="I13" i="4" s="1"/>
  <c r="B11" i="4"/>
  <c r="B13" i="4" s="1"/>
  <c r="B15" i="4" s="1"/>
  <c r="B19" i="4" s="1"/>
  <c r="Z11" i="4"/>
  <c r="P15" i="4"/>
  <c r="F19" i="4" s="1"/>
  <c r="I15" i="4"/>
  <c r="D19" i="4" s="1"/>
  <c r="Y13" i="4" l="1"/>
  <c r="W15" i="4" s="1"/>
  <c r="H19" i="4" s="1"/>
  <c r="B21" i="4" s="1"/>
</calcChain>
</file>

<file path=xl/sharedStrings.xml><?xml version="1.0" encoding="utf-8"?>
<sst xmlns="http://schemas.openxmlformats.org/spreadsheetml/2006/main" count="58" uniqueCount="15">
  <si>
    <t>k</t>
  </si>
  <si>
    <t>avg_doclen</t>
  </si>
  <si>
    <t>ni</t>
  </si>
  <si>
    <t>ni\N</t>
  </si>
  <si>
    <t>=</t>
  </si>
  <si>
    <t>b</t>
  </si>
  <si>
    <t>len(d)</t>
  </si>
  <si>
    <t>fij</t>
  </si>
  <si>
    <t>X</t>
  </si>
  <si>
    <t>log(</t>
  </si>
  <si>
    <t>N</t>
  </si>
  <si>
    <t>)</t>
  </si>
  <si>
    <t>+</t>
  </si>
  <si>
    <t>fij\len(d)</t>
  </si>
  <si>
    <t>Fij\k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</si>
</sst>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k = 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TF!$A$2:$A$16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50</c:v>
                </c:pt>
                <c:pt idx="12">
                  <c:v>100</c:v>
                </c:pt>
                <c:pt idx="13">
                  <c:v>1000</c:v>
                </c:pt>
                <c:pt idx="14">
                  <c:v>10000</c:v>
                </c:pt>
              </c:numCache>
            </c:numRef>
          </c:cat>
          <c:val>
            <c:numRef>
              <c:f>TF!$B$2:$B$16</c:f>
              <c:numCache>
                <c:formatCode>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1.3333333333333333</c:v>
                </c:pt>
                <c:pt idx="3">
                  <c:v>1.5</c:v>
                </c:pt>
                <c:pt idx="4">
                  <c:v>1.6</c:v>
                </c:pt>
                <c:pt idx="5">
                  <c:v>1.6666666666666667</c:v>
                </c:pt>
                <c:pt idx="6">
                  <c:v>1.7142857142857142</c:v>
                </c:pt>
                <c:pt idx="7">
                  <c:v>1.75</c:v>
                </c:pt>
                <c:pt idx="8">
                  <c:v>1.7777777777777777</c:v>
                </c:pt>
                <c:pt idx="9">
                  <c:v>1.8</c:v>
                </c:pt>
                <c:pt idx="10">
                  <c:v>1.8181818181818181</c:v>
                </c:pt>
                <c:pt idx="11">
                  <c:v>1.9607843137254901</c:v>
                </c:pt>
                <c:pt idx="12">
                  <c:v>1.9801980198019802</c:v>
                </c:pt>
                <c:pt idx="13">
                  <c:v>1.9980019980019981</c:v>
                </c:pt>
                <c:pt idx="14">
                  <c:v>1.9998000199980002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4-1847-AD2F-15EE167ACE6F}"/>
            </c:ext>
          </c:extLst>
        </c:ser>
        <c:ser>
          <c:idx val="2"/>
          <c:order val="1"/>
          <c:tx>
            <c:v>k = 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TF!$A$2:$A$16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50</c:v>
                </c:pt>
                <c:pt idx="12">
                  <c:v>100</c:v>
                </c:pt>
                <c:pt idx="13">
                  <c:v>1000</c:v>
                </c:pt>
                <c:pt idx="14">
                  <c:v>10000</c:v>
                </c:pt>
              </c:numCache>
            </c:numRef>
          </c:cat>
          <c:val>
            <c:numRef>
              <c:f>TF!$C$2:$C$16</c:f>
              <c:numCache>
                <c:formatCode>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1.8</c:v>
                </c:pt>
                <c:pt idx="4">
                  <c:v>2</c:v>
                </c:pt>
                <c:pt idx="5">
                  <c:v>2.1428571428571428</c:v>
                </c:pt>
                <c:pt idx="6">
                  <c:v>2.25</c:v>
                </c:pt>
                <c:pt idx="7">
                  <c:v>2.3333333333333335</c:v>
                </c:pt>
                <c:pt idx="8">
                  <c:v>2.4</c:v>
                </c:pt>
                <c:pt idx="9">
                  <c:v>2.4545454545454546</c:v>
                </c:pt>
                <c:pt idx="10">
                  <c:v>2.5</c:v>
                </c:pt>
                <c:pt idx="11">
                  <c:v>2.8846153846153846</c:v>
                </c:pt>
                <c:pt idx="12">
                  <c:v>2.9411764705882355</c:v>
                </c:pt>
                <c:pt idx="13">
                  <c:v>2.9940119760479043</c:v>
                </c:pt>
                <c:pt idx="14">
                  <c:v>2.9994001199760048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4-1847-AD2F-15EE167ACE6F}"/>
            </c:ext>
          </c:extLst>
        </c:ser>
        <c:ser>
          <c:idx val="3"/>
          <c:order val="2"/>
          <c:tx>
            <c:v>k = 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TF!$A$2:$A$16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50</c:v>
                </c:pt>
                <c:pt idx="12">
                  <c:v>100</c:v>
                </c:pt>
                <c:pt idx="13">
                  <c:v>1000</c:v>
                </c:pt>
                <c:pt idx="14">
                  <c:v>10000</c:v>
                </c:pt>
              </c:numCache>
            </c:numRef>
          </c:cat>
          <c:val>
            <c:numRef>
              <c:f>TF!$D$2:$D$16</c:f>
              <c:numCache>
                <c:formatCode>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1.6</c:v>
                </c:pt>
                <c:pt idx="3">
                  <c:v>2</c:v>
                </c:pt>
                <c:pt idx="4">
                  <c:v>2.2857142857142856</c:v>
                </c:pt>
                <c:pt idx="5">
                  <c:v>2.5</c:v>
                </c:pt>
                <c:pt idx="6">
                  <c:v>2.6666666666666665</c:v>
                </c:pt>
                <c:pt idx="7">
                  <c:v>2.8</c:v>
                </c:pt>
                <c:pt idx="8">
                  <c:v>2.9090909090909092</c:v>
                </c:pt>
                <c:pt idx="9">
                  <c:v>3</c:v>
                </c:pt>
                <c:pt idx="10">
                  <c:v>3.0769230769230771</c:v>
                </c:pt>
                <c:pt idx="11">
                  <c:v>3.7735849056603774</c:v>
                </c:pt>
                <c:pt idx="12">
                  <c:v>3.883495145631068</c:v>
                </c:pt>
                <c:pt idx="13">
                  <c:v>3.988035892323031</c:v>
                </c:pt>
                <c:pt idx="14">
                  <c:v>3.9988003598920323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84-1847-AD2F-15EE167ACE6F}"/>
            </c:ext>
          </c:extLst>
        </c:ser>
        <c:ser>
          <c:idx val="4"/>
          <c:order val="3"/>
          <c:tx>
            <c:v>k = 4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TF!$A$2:$A$16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50</c:v>
                </c:pt>
                <c:pt idx="12">
                  <c:v>100</c:v>
                </c:pt>
                <c:pt idx="13">
                  <c:v>1000</c:v>
                </c:pt>
                <c:pt idx="14">
                  <c:v>10000</c:v>
                </c:pt>
              </c:numCache>
            </c:numRef>
          </c:cat>
          <c:val>
            <c:numRef>
              <c:f>TF!$E$2:$E$16</c:f>
              <c:numCache>
                <c:formatCode>0.00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1.6666666666666667</c:v>
                </c:pt>
                <c:pt idx="3">
                  <c:v>2.1428571428571428</c:v>
                </c:pt>
                <c:pt idx="4">
                  <c:v>2.5</c:v>
                </c:pt>
                <c:pt idx="5">
                  <c:v>2.7777777777777777</c:v>
                </c:pt>
                <c:pt idx="6">
                  <c:v>3</c:v>
                </c:pt>
                <c:pt idx="7">
                  <c:v>3.1818181818181817</c:v>
                </c:pt>
                <c:pt idx="8">
                  <c:v>3.3333333333333335</c:v>
                </c:pt>
                <c:pt idx="9">
                  <c:v>3.4615384615384617</c:v>
                </c:pt>
                <c:pt idx="10">
                  <c:v>3.5714285714285716</c:v>
                </c:pt>
                <c:pt idx="11">
                  <c:v>4.6296296296296298</c:v>
                </c:pt>
                <c:pt idx="12">
                  <c:v>4.8076923076923075</c:v>
                </c:pt>
                <c:pt idx="13">
                  <c:v>4.9800796812749004</c:v>
                </c:pt>
                <c:pt idx="14">
                  <c:v>4.9980007996801277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84-1847-AD2F-15EE167AC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495632"/>
        <c:axId val="562180560"/>
      </c:lineChart>
      <c:catAx>
        <c:axId val="5624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80560"/>
        <c:crosses val="autoZero"/>
        <c:auto val="1"/>
        <c:lblAlgn val="ctr"/>
        <c:lblOffset val="100"/>
        <c:noMultiLvlLbl val="0"/>
      </c:catAx>
      <c:valAx>
        <c:axId val="5621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95632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3</xdr:row>
      <xdr:rowOff>152400</xdr:rowOff>
    </xdr:from>
    <xdr:to>
      <xdr:col>20</xdr:col>
      <xdr:colOff>495300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D9A60-D035-25BE-5C6E-E8FDCD995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80BD-8875-8C44-A593-2B0A5C4137BD}">
  <dimension ref="A1:AA22"/>
  <sheetViews>
    <sheetView tabSelected="1" workbookViewId="0">
      <selection activeCell="E2" sqref="E2"/>
    </sheetView>
  </sheetViews>
  <sheetFormatPr defaultColWidth="10.6640625" defaultRowHeight="15"/>
  <sheetData>
    <row r="1" spans="1:27">
      <c r="A1" t="s">
        <v>0</v>
      </c>
      <c r="B1">
        <v>1</v>
      </c>
    </row>
    <row r="2" spans="1:27">
      <c r="A2" t="s">
        <v>5</v>
      </c>
      <c r="B2">
        <v>0.75</v>
      </c>
    </row>
    <row r="3" spans="1:27">
      <c r="A3" t="s">
        <v>1</v>
      </c>
      <c r="B3">
        <v>100</v>
      </c>
    </row>
    <row r="4" spans="1:27">
      <c r="A4" t="s">
        <v>6</v>
      </c>
      <c r="B4">
        <v>85</v>
      </c>
    </row>
    <row r="5" spans="1:27">
      <c r="A5" t="s">
        <v>7</v>
      </c>
      <c r="B5">
        <v>43</v>
      </c>
      <c r="C5">
        <v>4</v>
      </c>
      <c r="D5">
        <v>0</v>
      </c>
      <c r="E5">
        <v>0</v>
      </c>
    </row>
    <row r="6" spans="1:27">
      <c r="A6" t="s">
        <v>10</v>
      </c>
      <c r="B6">
        <v>500000</v>
      </c>
    </row>
    <row r="7" spans="1:27">
      <c r="A7" t="s">
        <v>2</v>
      </c>
      <c r="B7">
        <v>40000</v>
      </c>
      <c r="C7">
        <v>300</v>
      </c>
      <c r="D7">
        <v>0</v>
      </c>
      <c r="E7">
        <v>0</v>
      </c>
      <c r="O7" s="7"/>
    </row>
    <row r="8" spans="1:27">
      <c r="O8" s="7"/>
    </row>
    <row r="9" spans="1:27" ht="15.4" thickBot="1">
      <c r="B9" s="3">
        <f>(B1+1)*B5</f>
        <v>86</v>
      </c>
      <c r="C9" s="7" t="s">
        <v>8</v>
      </c>
      <c r="D9" s="7" t="s">
        <v>9</v>
      </c>
      <c r="E9" s="5">
        <f>B6-B7+0.5</f>
        <v>460000.5</v>
      </c>
      <c r="F9" s="7" t="s">
        <v>11</v>
      </c>
      <c r="I9" s="3">
        <f>(B1+1)*C5</f>
        <v>8</v>
      </c>
      <c r="J9" s="7" t="s">
        <v>8</v>
      </c>
      <c r="K9" s="7" t="s">
        <v>9</v>
      </c>
      <c r="L9" s="5">
        <f>B6-C7+0.5</f>
        <v>499700.5</v>
      </c>
      <c r="M9" s="7" t="s">
        <v>11</v>
      </c>
      <c r="P9" s="3">
        <f>(B1+1)*D5</f>
        <v>0</v>
      </c>
      <c r="Q9" s="7" t="s">
        <v>8</v>
      </c>
      <c r="R9" s="7" t="s">
        <v>9</v>
      </c>
      <c r="S9" s="5">
        <f>B6-D7+0.5</f>
        <v>500000.5</v>
      </c>
      <c r="T9" s="7" t="s">
        <v>11</v>
      </c>
      <c r="W9" s="3">
        <f>(B1+1)*E5</f>
        <v>0</v>
      </c>
      <c r="X9" s="7" t="s">
        <v>8</v>
      </c>
      <c r="Y9" s="7" t="s">
        <v>9</v>
      </c>
      <c r="Z9" s="5">
        <f>B6-Q7+0.5</f>
        <v>500000.5</v>
      </c>
      <c r="AA9" s="7" t="s">
        <v>11</v>
      </c>
    </row>
    <row r="10" spans="1:27">
      <c r="B10" s="2">
        <f>B1*((1-B2) + B2*B4/B3) +B5</f>
        <v>43.887500000000003</v>
      </c>
      <c r="C10" s="7"/>
      <c r="D10" s="7"/>
      <c r="E10" s="4">
        <f>B7+0.5</f>
        <v>40000.5</v>
      </c>
      <c r="F10" s="7"/>
      <c r="I10" s="2">
        <f>B1*((1-B2) + B2*B4/B3) +C5</f>
        <v>4.8875000000000002</v>
      </c>
      <c r="J10" s="7"/>
      <c r="K10" s="7"/>
      <c r="L10" s="4">
        <f>C7+0.5</f>
        <v>300.5</v>
      </c>
      <c r="M10" s="7"/>
      <c r="P10" s="2">
        <f>B1*((1-B2) + B2*B4/B3) +D5</f>
        <v>0.88749999999999996</v>
      </c>
      <c r="Q10" s="7"/>
      <c r="R10" s="7"/>
      <c r="S10" s="4">
        <f>D7+0.5</f>
        <v>0.5</v>
      </c>
      <c r="T10" s="7"/>
      <c r="W10" s="2">
        <f>B1*((1-B2) + B2*B4/B3) +E5</f>
        <v>0.88749999999999996</v>
      </c>
      <c r="X10" s="7"/>
      <c r="Y10" s="7"/>
      <c r="Z10" s="4">
        <f>E7+0.5</f>
        <v>0.5</v>
      </c>
      <c r="AA10" s="7"/>
    </row>
    <row r="11" spans="1:27">
      <c r="A11" s="7" t="s">
        <v>4</v>
      </c>
      <c r="B11" s="8">
        <f>B9/B10</f>
        <v>1.9595556821418398</v>
      </c>
      <c r="C11" s="7" t="s">
        <v>8</v>
      </c>
      <c r="D11" s="7" t="s">
        <v>9</v>
      </c>
      <c r="E11" s="8">
        <f>E9/E10</f>
        <v>11.499868751640605</v>
      </c>
      <c r="F11" s="7" t="s">
        <v>11</v>
      </c>
      <c r="H11" s="7" t="s">
        <v>4</v>
      </c>
      <c r="I11" s="8">
        <f>I9/I10</f>
        <v>1.6368286445012787</v>
      </c>
      <c r="J11" s="7" t="s">
        <v>8</v>
      </c>
      <c r="K11" s="7" t="s">
        <v>9</v>
      </c>
      <c r="L11" s="8">
        <f>L9/L10</f>
        <v>1662.8968386023294</v>
      </c>
      <c r="M11" s="7" t="s">
        <v>11</v>
      </c>
      <c r="O11" s="7" t="s">
        <v>4</v>
      </c>
      <c r="P11" s="8">
        <f>P9/P10</f>
        <v>0</v>
      </c>
      <c r="Q11" s="7" t="s">
        <v>8</v>
      </c>
      <c r="R11" s="7" t="s">
        <v>9</v>
      </c>
      <c r="S11" s="8">
        <f>S9/S10</f>
        <v>1000001</v>
      </c>
      <c r="T11" s="7" t="s">
        <v>11</v>
      </c>
      <c r="V11" s="7" t="s">
        <v>4</v>
      </c>
      <c r="W11" s="8">
        <f>W9/W10</f>
        <v>0</v>
      </c>
      <c r="X11" s="7" t="s">
        <v>8</v>
      </c>
      <c r="Y11" s="7" t="s">
        <v>9</v>
      </c>
      <c r="Z11" s="8">
        <f>Z9/Z10</f>
        <v>1000001</v>
      </c>
      <c r="AA11" s="7" t="s">
        <v>11</v>
      </c>
    </row>
    <row r="12" spans="1:27">
      <c r="A12" s="7"/>
      <c r="B12" s="8"/>
      <c r="C12" s="7"/>
      <c r="D12" s="7"/>
      <c r="E12" s="8"/>
      <c r="F12" s="7"/>
      <c r="H12" s="7"/>
      <c r="I12" s="8"/>
      <c r="J12" s="7"/>
      <c r="K12" s="7"/>
      <c r="L12" s="8"/>
      <c r="M12" s="7"/>
      <c r="O12" s="7"/>
      <c r="P12" s="8"/>
      <c r="Q12" s="7"/>
      <c r="R12" s="7"/>
      <c r="S12" s="8"/>
      <c r="T12" s="7"/>
      <c r="V12" s="7"/>
      <c r="W12" s="8"/>
      <c r="X12" s="7"/>
      <c r="Y12" s="7"/>
      <c r="Z12" s="8"/>
      <c r="AA12" s="7"/>
    </row>
    <row r="13" spans="1:27">
      <c r="A13" s="7" t="s">
        <v>4</v>
      </c>
      <c r="B13" s="8">
        <f>B11</f>
        <v>1.9595556821418398</v>
      </c>
      <c r="C13" s="7" t="s">
        <v>8</v>
      </c>
      <c r="D13" s="8">
        <f>LOG(E11,2)</f>
        <v>3.5235454906276433</v>
      </c>
      <c r="H13" s="7" t="s">
        <v>4</v>
      </c>
      <c r="I13" s="8">
        <f>I11</f>
        <v>1.6368286445012787</v>
      </c>
      <c r="J13" s="7" t="s">
        <v>8</v>
      </c>
      <c r="K13" s="8">
        <f>LOG(L11,2)</f>
        <v>10.699482955359883</v>
      </c>
      <c r="O13" s="7" t="s">
        <v>4</v>
      </c>
      <c r="P13" s="8">
        <f>P11</f>
        <v>0</v>
      </c>
      <c r="Q13" s="7" t="s">
        <v>8</v>
      </c>
      <c r="R13" s="8">
        <f>LOG(S11,2)</f>
        <v>19.931570012018494</v>
      </c>
      <c r="V13" s="7" t="s">
        <v>4</v>
      </c>
      <c r="W13" s="8">
        <f>W11</f>
        <v>0</v>
      </c>
      <c r="X13" s="7" t="s">
        <v>8</v>
      </c>
      <c r="Y13" s="8">
        <f>LOG(Z11,2)</f>
        <v>19.931570012018494</v>
      </c>
    </row>
    <row r="14" spans="1:27">
      <c r="A14" s="7"/>
      <c r="B14" s="8"/>
      <c r="C14" s="7"/>
      <c r="D14" s="8"/>
      <c r="H14" s="7"/>
      <c r="I14" s="8"/>
      <c r="J14" s="7"/>
      <c r="K14" s="8"/>
      <c r="O14" s="7"/>
      <c r="P14" s="8"/>
      <c r="Q14" s="7"/>
      <c r="R14" s="8"/>
      <c r="V14" s="7"/>
      <c r="W14" s="8"/>
      <c r="X14" s="7"/>
      <c r="Y14" s="8"/>
    </row>
    <row r="15" spans="1:27">
      <c r="A15" s="7" t="s">
        <v>4</v>
      </c>
      <c r="B15" s="9">
        <f>B13*D13</f>
        <v>6.9045835874446553</v>
      </c>
      <c r="H15" s="7" t="s">
        <v>4</v>
      </c>
      <c r="I15" s="9">
        <f>I13*K13</f>
        <v>17.513220182686254</v>
      </c>
      <c r="O15" s="7" t="s">
        <v>4</v>
      </c>
      <c r="P15" s="9">
        <f>P13*R13</f>
        <v>0</v>
      </c>
      <c r="V15" s="7" t="s">
        <v>4</v>
      </c>
      <c r="W15" s="9">
        <f>W13*Y13</f>
        <v>0</v>
      </c>
    </row>
    <row r="16" spans="1:27">
      <c r="A16" s="7"/>
      <c r="B16" s="9"/>
      <c r="H16" s="7"/>
      <c r="I16" s="9"/>
      <c r="O16" s="7"/>
      <c r="P16" s="9"/>
      <c r="V16" s="7"/>
      <c r="W16" s="9"/>
    </row>
    <row r="19" spans="1:8">
      <c r="A19" s="7" t="s">
        <v>4</v>
      </c>
      <c r="B19" s="9">
        <f>B15</f>
        <v>6.9045835874446553</v>
      </c>
      <c r="C19" s="11" t="s">
        <v>12</v>
      </c>
      <c r="D19" s="9">
        <f>I15</f>
        <v>17.513220182686254</v>
      </c>
      <c r="E19" s="11" t="s">
        <v>12</v>
      </c>
      <c r="F19" s="9">
        <f>P15</f>
        <v>0</v>
      </c>
      <c r="G19" s="11" t="s">
        <v>12</v>
      </c>
      <c r="H19" s="9">
        <f>W15</f>
        <v>0</v>
      </c>
    </row>
    <row r="20" spans="1:8">
      <c r="A20" s="7"/>
      <c r="B20" s="10"/>
      <c r="C20" s="11"/>
      <c r="D20" s="10"/>
      <c r="E20" s="11"/>
      <c r="F20" s="10"/>
      <c r="G20" s="11"/>
      <c r="H20" s="10"/>
    </row>
    <row r="21" spans="1:8">
      <c r="A21" s="7" t="s">
        <v>4</v>
      </c>
      <c r="B21" s="9">
        <f>SUM(B19,D19,F19,H19)</f>
        <v>24.417803770130909</v>
      </c>
    </row>
    <row r="22" spans="1:8">
      <c r="A22" s="7"/>
      <c r="B22" s="9"/>
    </row>
  </sheetData>
  <mergeCells count="71">
    <mergeCell ref="O7:O8"/>
    <mergeCell ref="A13:A14"/>
    <mergeCell ref="B13:B14"/>
    <mergeCell ref="C13:C14"/>
    <mergeCell ref="D13:D14"/>
    <mergeCell ref="C9:C10"/>
    <mergeCell ref="D9:D10"/>
    <mergeCell ref="F9:F10"/>
    <mergeCell ref="A11:A12"/>
    <mergeCell ref="B11:B12"/>
    <mergeCell ref="C11:C12"/>
    <mergeCell ref="K9:K10"/>
    <mergeCell ref="M9:M10"/>
    <mergeCell ref="H11:H12"/>
    <mergeCell ref="I11:I12"/>
    <mergeCell ref="J11:J12"/>
    <mergeCell ref="K11:K12"/>
    <mergeCell ref="L11:L12"/>
    <mergeCell ref="H15:H16"/>
    <mergeCell ref="I15:I16"/>
    <mergeCell ref="A15:A16"/>
    <mergeCell ref="B15:B16"/>
    <mergeCell ref="J9:J10"/>
    <mergeCell ref="D11:D12"/>
    <mergeCell ref="E11:E12"/>
    <mergeCell ref="F11:F12"/>
    <mergeCell ref="M11:M12"/>
    <mergeCell ref="H13:H14"/>
    <mergeCell ref="I13:I14"/>
    <mergeCell ref="J13:J14"/>
    <mergeCell ref="K13:K14"/>
    <mergeCell ref="H19:H20"/>
    <mergeCell ref="A21:A22"/>
    <mergeCell ref="B21:B22"/>
    <mergeCell ref="Q9:Q10"/>
    <mergeCell ref="R9:R10"/>
    <mergeCell ref="O11:O12"/>
    <mergeCell ref="P11:P12"/>
    <mergeCell ref="Q11:Q12"/>
    <mergeCell ref="R11:R12"/>
    <mergeCell ref="A19:A20"/>
    <mergeCell ref="B19:B20"/>
    <mergeCell ref="C19:C20"/>
    <mergeCell ref="E19:E20"/>
    <mergeCell ref="G19:G20"/>
    <mergeCell ref="D19:D20"/>
    <mergeCell ref="F19:F20"/>
    <mergeCell ref="Y9:Y10"/>
    <mergeCell ref="AA9:AA10"/>
    <mergeCell ref="V11:V12"/>
    <mergeCell ref="W11:W12"/>
    <mergeCell ref="X11:X12"/>
    <mergeCell ref="Y11:Y12"/>
    <mergeCell ref="Z11:Z12"/>
    <mergeCell ref="V15:V16"/>
    <mergeCell ref="W15:W16"/>
    <mergeCell ref="O15:O16"/>
    <mergeCell ref="P15:P16"/>
    <mergeCell ref="X9:X10"/>
    <mergeCell ref="S11:S12"/>
    <mergeCell ref="T11:T12"/>
    <mergeCell ref="O13:O14"/>
    <mergeCell ref="P13:P14"/>
    <mergeCell ref="Q13:Q14"/>
    <mergeCell ref="R13:R14"/>
    <mergeCell ref="T9:T10"/>
    <mergeCell ref="AA11:AA12"/>
    <mergeCell ref="V13:V14"/>
    <mergeCell ref="W13:W14"/>
    <mergeCell ref="X13:X14"/>
    <mergeCell ref="Y13:Y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80AA-4EEE-BC4F-B497-2D21DBF9E52A}">
  <dimension ref="A1:O12"/>
  <sheetViews>
    <sheetView workbookViewId="0">
      <selection activeCell="B3" sqref="B3"/>
    </sheetView>
  </sheetViews>
  <sheetFormatPr defaultColWidth="10.6640625" defaultRowHeight="15"/>
  <cols>
    <col min="14" max="14" width="13.33203125" bestFit="1" customWidth="1"/>
    <col min="15" max="15" width="6.5" bestFit="1" customWidth="1"/>
  </cols>
  <sheetData>
    <row r="1" spans="1:15" ht="20.25">
      <c r="A1" t="s">
        <v>13</v>
      </c>
      <c r="B1">
        <v>100</v>
      </c>
      <c r="C1">
        <v>200</v>
      </c>
      <c r="D1">
        <v>400</v>
      </c>
      <c r="E1">
        <v>800</v>
      </c>
      <c r="F1">
        <v>1600</v>
      </c>
      <c r="G1">
        <v>3200</v>
      </c>
      <c r="H1">
        <v>6400</v>
      </c>
      <c r="I1">
        <v>12800</v>
      </c>
      <c r="J1">
        <v>25600</v>
      </c>
      <c r="K1">
        <v>51200</v>
      </c>
      <c r="N1" s="6" t="s">
        <v>0</v>
      </c>
      <c r="O1" s="6">
        <v>1</v>
      </c>
    </row>
    <row r="2" spans="1:15" ht="20.25">
      <c r="A2">
        <v>0</v>
      </c>
      <c r="B2" s="1">
        <f>_xlfn.LET(_xlpm.k,$O$1,_xlpm.b, $O$2, _xlpm.avg_doclen,$O$3,((_xlpm.k+1)*$A2)/(_xlpm.k*((1-_xlpm.b)+_xlpm.b*(B$1/_xlpm.avg_doclen))+$A2))</f>
        <v>0</v>
      </c>
      <c r="C2" s="1">
        <f t="shared" ref="C2:K2" si="0">_xlfn.LET(_xlpm.k,$O$1,_xlpm.b, $O$2, _xlpm.avg_doclen,$O$3,((_xlpm.k+1)*$A2)/(_xlpm.k*((1-_xlpm.b)+_xlpm.b*(C$1/_xlpm.avg_doclen))+$A2))</f>
        <v>0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N2" s="6" t="s">
        <v>5</v>
      </c>
      <c r="O2" s="6">
        <v>0.75</v>
      </c>
    </row>
    <row r="3" spans="1:15" ht="20.25">
      <c r="A3">
        <v>1</v>
      </c>
      <c r="B3" s="1">
        <f t="shared" ref="B3:K12" si="1">_xlfn.LET(_xlpm.k,$O$1,_xlpm.b, $O$2, _xlpm.avg_doclen,$O$3,((_xlpm.k+1)*$A3)/(_xlpm.k*((1-_xlpm.b)+_xlpm.b*(B$1/_xlpm.avg_doclen))+$A3))</f>
        <v>1.4285714285714286</v>
      </c>
      <c r="C3" s="1">
        <f t="shared" si="1"/>
        <v>1.2903225806451613</v>
      </c>
      <c r="D3" s="1">
        <f t="shared" si="1"/>
        <v>1.0810810810810809</v>
      </c>
      <c r="E3" s="1">
        <f t="shared" si="1"/>
        <v>0.81632653061224481</v>
      </c>
      <c r="F3" s="1">
        <f t="shared" si="1"/>
        <v>0.54794520547945202</v>
      </c>
      <c r="G3" s="1">
        <f t="shared" si="1"/>
        <v>0.33057851239669417</v>
      </c>
      <c r="H3" s="1">
        <f t="shared" si="1"/>
        <v>0.18433179723502302</v>
      </c>
      <c r="I3" s="1">
        <f t="shared" si="1"/>
        <v>9.779951100244498E-2</v>
      </c>
      <c r="J3" s="1">
        <f t="shared" si="1"/>
        <v>5.0441361916771746E-2</v>
      </c>
      <c r="K3" s="1">
        <f t="shared" si="1"/>
        <v>2.5624599615631002E-2</v>
      </c>
      <c r="N3" s="6" t="s">
        <v>1</v>
      </c>
      <c r="O3" s="6">
        <v>500</v>
      </c>
    </row>
    <row r="4" spans="1:15">
      <c r="A4">
        <v>2</v>
      </c>
      <c r="B4" s="1">
        <f t="shared" si="1"/>
        <v>1.6666666666666667</v>
      </c>
      <c r="C4" s="1">
        <f t="shared" si="1"/>
        <v>1.5686274509803924</v>
      </c>
      <c r="D4" s="1">
        <f t="shared" si="1"/>
        <v>1.4035087719298245</v>
      </c>
      <c r="E4" s="1">
        <f t="shared" si="1"/>
        <v>1.1594202898550725</v>
      </c>
      <c r="F4" s="1">
        <f t="shared" si="1"/>
        <v>0.86021505376344076</v>
      </c>
      <c r="G4" s="1">
        <f t="shared" si="1"/>
        <v>0.56737588652482263</v>
      </c>
      <c r="H4" s="1">
        <f t="shared" si="1"/>
        <v>0.33755274261603374</v>
      </c>
      <c r="I4" s="1">
        <f t="shared" si="1"/>
        <v>0.18648018648018647</v>
      </c>
      <c r="J4" s="1">
        <f t="shared" si="1"/>
        <v>9.8400984009840084E-2</v>
      </c>
      <c r="K4" s="1">
        <f t="shared" si="1"/>
        <v>5.0600885515496512E-2</v>
      </c>
    </row>
    <row r="5" spans="1:15">
      <c r="A5">
        <v>3</v>
      </c>
      <c r="B5" s="1">
        <f t="shared" si="1"/>
        <v>1.7647058823529411</v>
      </c>
      <c r="C5" s="1">
        <f t="shared" si="1"/>
        <v>1.6901408450704227</v>
      </c>
      <c r="D5" s="1">
        <f t="shared" si="1"/>
        <v>1.5584415584415585</v>
      </c>
      <c r="E5" s="1">
        <f t="shared" si="1"/>
        <v>1.348314606741573</v>
      </c>
      <c r="F5" s="1">
        <f t="shared" si="1"/>
        <v>1.0619469026548671</v>
      </c>
      <c r="G5" s="1">
        <f t="shared" si="1"/>
        <v>0.74534161490683226</v>
      </c>
      <c r="H5" s="1">
        <f t="shared" si="1"/>
        <v>0.46692607003891046</v>
      </c>
      <c r="I5" s="1">
        <f t="shared" si="1"/>
        <v>0.26726057906458794</v>
      </c>
      <c r="J5" s="1">
        <f t="shared" si="1"/>
        <v>0.14405762304921968</v>
      </c>
      <c r="K5" s="1">
        <f t="shared" si="1"/>
        <v>7.4953154278575879E-2</v>
      </c>
    </row>
    <row r="6" spans="1:15">
      <c r="A6">
        <v>4</v>
      </c>
      <c r="B6" s="1">
        <f t="shared" si="1"/>
        <v>1.8181818181818181</v>
      </c>
      <c r="C6" s="1">
        <f t="shared" si="1"/>
        <v>1.7582417582417582</v>
      </c>
      <c r="D6" s="1">
        <f t="shared" si="1"/>
        <v>1.6494845360824744</v>
      </c>
      <c r="E6" s="1">
        <f t="shared" si="1"/>
        <v>1.4678899082568806</v>
      </c>
      <c r="F6" s="1">
        <f t="shared" si="1"/>
        <v>1.2030075187969924</v>
      </c>
      <c r="G6" s="1">
        <f t="shared" si="1"/>
        <v>0.88397790055248615</v>
      </c>
      <c r="H6" s="1">
        <f t="shared" si="1"/>
        <v>0.57761732851985559</v>
      </c>
      <c r="I6" s="1">
        <f t="shared" si="1"/>
        <v>0.34115138592750527</v>
      </c>
      <c r="J6" s="1">
        <f t="shared" si="1"/>
        <v>0.1875732708089097</v>
      </c>
      <c r="K6" s="1">
        <f t="shared" si="1"/>
        <v>9.8704503392967297E-2</v>
      </c>
    </row>
    <row r="7" spans="1:15">
      <c r="A7">
        <v>5</v>
      </c>
      <c r="B7" s="1">
        <f t="shared" si="1"/>
        <v>1.8518518518518516</v>
      </c>
      <c r="C7" s="1">
        <f t="shared" si="1"/>
        <v>1.8018018018018018</v>
      </c>
      <c r="D7" s="1">
        <f t="shared" si="1"/>
        <v>1.7094017094017095</v>
      </c>
      <c r="E7" s="1">
        <f t="shared" si="1"/>
        <v>1.5503875968992247</v>
      </c>
      <c r="F7" s="1">
        <f t="shared" si="1"/>
        <v>1.3071895424836601</v>
      </c>
      <c r="G7" s="1">
        <f t="shared" si="1"/>
        <v>0.99502487562189046</v>
      </c>
      <c r="H7" s="1">
        <f t="shared" si="1"/>
        <v>0.67340067340067333</v>
      </c>
      <c r="I7" s="1">
        <f t="shared" si="1"/>
        <v>0.4089979550102249</v>
      </c>
      <c r="J7" s="1">
        <f t="shared" si="1"/>
        <v>0.22909507445589916</v>
      </c>
      <c r="K7" s="1">
        <f t="shared" si="1"/>
        <v>0.12187690432663009</v>
      </c>
    </row>
    <row r="8" spans="1:15">
      <c r="A8">
        <v>6</v>
      </c>
      <c r="B8" s="1">
        <f t="shared" si="1"/>
        <v>1.875</v>
      </c>
      <c r="C8" s="1">
        <f t="shared" si="1"/>
        <v>1.83206106870229</v>
      </c>
      <c r="D8" s="1">
        <f t="shared" si="1"/>
        <v>1.7518248175182483</v>
      </c>
      <c r="E8" s="1">
        <f t="shared" si="1"/>
        <v>1.6107382550335569</v>
      </c>
      <c r="F8" s="1">
        <f t="shared" si="1"/>
        <v>1.3872832369942196</v>
      </c>
      <c r="G8" s="1">
        <f t="shared" si="1"/>
        <v>1.0859728506787329</v>
      </c>
      <c r="H8" s="1">
        <f t="shared" si="1"/>
        <v>0.75709779179810721</v>
      </c>
      <c r="I8" s="1">
        <f t="shared" si="1"/>
        <v>0.47151277013752452</v>
      </c>
      <c r="J8" s="1">
        <f t="shared" si="1"/>
        <v>0.26875699888017912</v>
      </c>
      <c r="K8" s="1">
        <f t="shared" si="1"/>
        <v>0.14449127031908487</v>
      </c>
    </row>
    <row r="9" spans="1:15">
      <c r="A9">
        <v>7</v>
      </c>
      <c r="B9" s="1">
        <f t="shared" si="1"/>
        <v>1.8918918918918919</v>
      </c>
      <c r="C9" s="1">
        <f t="shared" si="1"/>
        <v>1.8543046357615895</v>
      </c>
      <c r="D9" s="1">
        <f t="shared" si="1"/>
        <v>1.7834394904458599</v>
      </c>
      <c r="E9" s="1">
        <f t="shared" si="1"/>
        <v>1.6568047337278109</v>
      </c>
      <c r="F9" s="1">
        <f t="shared" si="1"/>
        <v>1.4507772020725389</v>
      </c>
      <c r="G9" s="1">
        <f t="shared" si="1"/>
        <v>1.1618257261410787</v>
      </c>
      <c r="H9" s="1">
        <f t="shared" si="1"/>
        <v>0.83086053412462901</v>
      </c>
      <c r="I9" s="1">
        <f t="shared" si="1"/>
        <v>0.52930056710775042</v>
      </c>
      <c r="J9" s="1">
        <f t="shared" si="1"/>
        <v>0.3066812705366922</v>
      </c>
      <c r="K9" s="1">
        <f t="shared" si="1"/>
        <v>0.1665675193337299</v>
      </c>
    </row>
    <row r="10" spans="1:15">
      <c r="A10">
        <v>8</v>
      </c>
      <c r="B10" s="1">
        <f t="shared" si="1"/>
        <v>1.9047619047619047</v>
      </c>
      <c r="C10" s="1">
        <f t="shared" si="1"/>
        <v>1.871345029239766</v>
      </c>
      <c r="D10" s="1">
        <f t="shared" si="1"/>
        <v>1.807909604519774</v>
      </c>
      <c r="E10" s="1">
        <f t="shared" si="1"/>
        <v>1.6931216931216932</v>
      </c>
      <c r="F10" s="1">
        <f t="shared" si="1"/>
        <v>1.5023474178403755</v>
      </c>
      <c r="G10" s="1">
        <f t="shared" si="1"/>
        <v>1.2260536398467432</v>
      </c>
      <c r="H10" s="1">
        <f t="shared" si="1"/>
        <v>0.89635854341736687</v>
      </c>
      <c r="I10" s="1">
        <f t="shared" si="1"/>
        <v>0.5828779599271402</v>
      </c>
      <c r="J10" s="1">
        <f t="shared" si="1"/>
        <v>0.34297963558413713</v>
      </c>
      <c r="K10" s="1">
        <f t="shared" si="1"/>
        <v>0.18812463256907699</v>
      </c>
    </row>
    <row r="11" spans="1:15">
      <c r="A11">
        <v>9</v>
      </c>
      <c r="B11" s="1">
        <f t="shared" si="1"/>
        <v>1.9148936170212765</v>
      </c>
      <c r="C11" s="1">
        <f t="shared" si="1"/>
        <v>1.8848167539267013</v>
      </c>
      <c r="D11" s="1">
        <f t="shared" si="1"/>
        <v>1.8274111675126905</v>
      </c>
      <c r="E11" s="1">
        <f t="shared" si="1"/>
        <v>1.7224880382775121</v>
      </c>
      <c r="F11" s="1">
        <f t="shared" si="1"/>
        <v>1.5450643776824033</v>
      </c>
      <c r="G11" s="1">
        <f t="shared" si="1"/>
        <v>1.2811387900355871</v>
      </c>
      <c r="H11" s="1">
        <f t="shared" si="1"/>
        <v>0.95490716180371349</v>
      </c>
      <c r="I11" s="1">
        <f t="shared" si="1"/>
        <v>0.63268892794376097</v>
      </c>
      <c r="J11" s="1">
        <f t="shared" si="1"/>
        <v>0.37775445960125914</v>
      </c>
      <c r="K11" s="1">
        <f t="shared" si="1"/>
        <v>0.20918070889018009</v>
      </c>
    </row>
    <row r="12" spans="1:15">
      <c r="A12">
        <v>10</v>
      </c>
      <c r="B12" s="1">
        <f t="shared" si="1"/>
        <v>1.9230769230769229</v>
      </c>
      <c r="C12" s="1">
        <f t="shared" si="1"/>
        <v>1.8957345971563979</v>
      </c>
      <c r="D12" s="1">
        <f t="shared" si="1"/>
        <v>1.8433179723502304</v>
      </c>
      <c r="E12" s="1">
        <f t="shared" si="1"/>
        <v>1.7467248908296944</v>
      </c>
      <c r="F12" s="1">
        <f t="shared" si="1"/>
        <v>1.5810276679841897</v>
      </c>
      <c r="G12" s="1">
        <f t="shared" si="1"/>
        <v>1.3289036544850499</v>
      </c>
      <c r="H12" s="1">
        <f t="shared" si="1"/>
        <v>1.0075566750629723</v>
      </c>
      <c r="I12" s="1">
        <f t="shared" si="1"/>
        <v>0.6791171477079796</v>
      </c>
      <c r="J12" s="1">
        <f t="shared" si="1"/>
        <v>0.41109969167523119</v>
      </c>
      <c r="K12" s="1">
        <f t="shared" si="1"/>
        <v>0.22975301550832852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EB15-0043-9148-B2B9-19C1F5A2267C}">
  <dimension ref="A1:G11"/>
  <sheetViews>
    <sheetView workbookViewId="0">
      <selection activeCell="F21" sqref="F21"/>
    </sheetView>
  </sheetViews>
  <sheetFormatPr defaultColWidth="10.6640625" defaultRowHeight="15"/>
  <sheetData>
    <row r="1" spans="1:7">
      <c r="A1" t="s">
        <v>3</v>
      </c>
      <c r="B1">
        <v>50</v>
      </c>
      <c r="C1">
        <v>75</v>
      </c>
      <c r="D1">
        <v>100</v>
      </c>
      <c r="E1">
        <v>200</v>
      </c>
      <c r="F1">
        <v>400</v>
      </c>
      <c r="G1">
        <v>800</v>
      </c>
    </row>
    <row r="2" spans="1:7">
      <c r="A2">
        <v>1</v>
      </c>
      <c r="B2" s="1">
        <f>_xlfn.LET(_xlpm.ni,$A2,_xlpm.N,B$1,LOG((_xlpm.N-_xlpm.ni+0.5)/(_xlpm.ni+0.5),2))</f>
        <v>5.0443941193584534</v>
      </c>
      <c r="C2" s="1">
        <f t="shared" ref="C2:G11" si="0">_xlfn.LET(_xlpm.ni,$A2,_xlpm.N,C$1,LOG((_xlpm.N-_xlpm.ni+0.5)/(_xlpm.ni+0.5),2))</f>
        <v>5.6342060197410051</v>
      </c>
      <c r="D2" s="1">
        <f t="shared" si="0"/>
        <v>6.0516621198224918</v>
      </c>
      <c r="E2" s="1">
        <f t="shared" si="0"/>
        <v>7.0552824355011898</v>
      </c>
      <c r="F2" s="1">
        <f t="shared" si="0"/>
        <v>8.0570891922068206</v>
      </c>
      <c r="G2" s="1">
        <f t="shared" si="0"/>
        <v>9.0579917227591764</v>
      </c>
    </row>
    <row r="3" spans="1:7">
      <c r="A3">
        <v>2</v>
      </c>
      <c r="B3" s="1">
        <f t="shared" ref="B3:B8" si="1">_xlfn.LET(_xlpm.ni,$A3,_xlpm.N,B$1,LOG((_xlpm.N-_xlpm.ni+0.5)/(_xlpm.ni+0.5),2))</f>
        <v>4.2779847472997652</v>
      </c>
      <c r="C3" s="1">
        <f t="shared" si="0"/>
        <v>4.8777442499490027</v>
      </c>
      <c r="D3" s="1">
        <f t="shared" si="0"/>
        <v>5.3001237245690138</v>
      </c>
      <c r="E3" s="1">
        <f t="shared" si="0"/>
        <v>6.3110671022555955</v>
      </c>
      <c r="F3" s="1">
        <f t="shared" si="0"/>
        <v>7.3165078191031094</v>
      </c>
      <c r="G3" s="1">
        <f t="shared" si="0"/>
        <v>8.319220502523871</v>
      </c>
    </row>
    <row r="4" spans="1:7">
      <c r="A4">
        <v>4</v>
      </c>
      <c r="B4" s="1">
        <f t="shared" si="1"/>
        <v>3.3692338096657193</v>
      </c>
      <c r="C4" s="1">
        <f t="shared" si="0"/>
        <v>3.9899463353360769</v>
      </c>
      <c r="D4" s="1">
        <f t="shared" si="0"/>
        <v>4.4225320358257676</v>
      </c>
      <c r="E4" s="1">
        <f t="shared" si="0"/>
        <v>5.4484605008162941</v>
      </c>
      <c r="F4" s="1">
        <f t="shared" si="0"/>
        <v>6.4612520542616663</v>
      </c>
      <c r="G4" s="1">
        <f t="shared" si="0"/>
        <v>7.4676055500829976</v>
      </c>
    </row>
    <row r="5" spans="1:7">
      <c r="A5">
        <v>8</v>
      </c>
      <c r="B5" s="1">
        <f t="shared" si="1"/>
        <v>2.3219280948873622</v>
      </c>
      <c r="C5" s="1">
        <f t="shared" si="0"/>
        <v>2.9893527558004918</v>
      </c>
      <c r="D5" s="1">
        <f t="shared" si="0"/>
        <v>3.4439186192659728</v>
      </c>
      <c r="E5" s="1">
        <f t="shared" si="0"/>
        <v>4.5012517943319246</v>
      </c>
      <c r="F5" s="1">
        <f t="shared" si="0"/>
        <v>5.5290860025286506</v>
      </c>
      <c r="G5" s="1">
        <f t="shared" si="0"/>
        <v>6.5428042837764302</v>
      </c>
    </row>
    <row r="6" spans="1:7">
      <c r="A6">
        <v>10</v>
      </c>
      <c r="B6" s="1">
        <f t="shared" si="1"/>
        <v>1.9475325801058647</v>
      </c>
      <c r="C6" s="1">
        <f t="shared" si="0"/>
        <v>2.6411055787586903</v>
      </c>
      <c r="D6" s="1">
        <f t="shared" si="0"/>
        <v>3.107528464304445</v>
      </c>
      <c r="E6" s="1">
        <f t="shared" si="0"/>
        <v>4.1813297647145617</v>
      </c>
      <c r="F6" s="1">
        <f t="shared" si="0"/>
        <v>5.2168613153632197</v>
      </c>
      <c r="G6" s="1">
        <f t="shared" si="0"/>
        <v>6.2343042295796103</v>
      </c>
    </row>
    <row r="7" spans="1:7">
      <c r="A7">
        <v>25</v>
      </c>
      <c r="B7" s="1">
        <f t="shared" si="1"/>
        <v>0</v>
      </c>
      <c r="C7" s="1">
        <f t="shared" si="0"/>
        <v>0.98578614078029925</v>
      </c>
      <c r="D7" s="1">
        <f t="shared" si="0"/>
        <v>1.5659793973535834</v>
      </c>
      <c r="E7" s="1">
        <f t="shared" si="0"/>
        <v>2.7829018783330652</v>
      </c>
      <c r="F7" s="1">
        <f t="shared" si="0"/>
        <v>3.880243755542776</v>
      </c>
      <c r="G7" s="1">
        <f t="shared" si="0"/>
        <v>4.9265576290645949</v>
      </c>
    </row>
    <row r="8" spans="1:7">
      <c r="A8">
        <v>50</v>
      </c>
      <c r="B8" s="1">
        <f t="shared" si="1"/>
        <v>-6.6582114827517955</v>
      </c>
      <c r="C8" s="1">
        <f t="shared" si="0"/>
        <v>-0.98578614078029914</v>
      </c>
      <c r="D8" s="1">
        <f t="shared" si="0"/>
        <v>0</v>
      </c>
      <c r="E8" s="1">
        <f t="shared" si="0"/>
        <v>1.5754081940079074</v>
      </c>
      <c r="F8" s="1">
        <f t="shared" si="0"/>
        <v>2.7950591512588283</v>
      </c>
      <c r="G8" s="1">
        <f t="shared" si="0"/>
        <v>3.8934967788688937</v>
      </c>
    </row>
    <row r="9" spans="1:7">
      <c r="A9">
        <v>75</v>
      </c>
      <c r="B9" s="1"/>
      <c r="C9" s="1">
        <f t="shared" si="0"/>
        <v>-7.2384047393250794</v>
      </c>
      <c r="D9" s="1">
        <f t="shared" si="0"/>
        <v>-1.5659793973535834</v>
      </c>
      <c r="E9" s="1">
        <f t="shared" si="0"/>
        <v>0.73313881462569319</v>
      </c>
      <c r="F9" s="1">
        <f t="shared" si="0"/>
        <v>2.1081089938405566</v>
      </c>
      <c r="G9" s="1">
        <f t="shared" si="0"/>
        <v>3.2644270647416658</v>
      </c>
    </row>
    <row r="10" spans="1:7">
      <c r="A10">
        <v>100</v>
      </c>
      <c r="B10" s="1"/>
      <c r="C10" s="1"/>
      <c r="D10" s="1">
        <f t="shared" si="0"/>
        <v>-7.651051691178929</v>
      </c>
      <c r="E10" s="1">
        <f t="shared" si="0"/>
        <v>0</v>
      </c>
      <c r="F10" s="1">
        <f t="shared" si="0"/>
        <v>1.5801694895322569</v>
      </c>
      <c r="G10" s="1">
        <f t="shared" si="0"/>
        <v>2.8011895492518897</v>
      </c>
    </row>
    <row r="11" spans="1:7">
      <c r="A11">
        <v>200</v>
      </c>
      <c r="B11" s="1"/>
      <c r="C11" s="1"/>
      <c r="D11" s="1"/>
      <c r="E11" s="1">
        <f t="shared" si="0"/>
        <v>-8.6474584264549215</v>
      </c>
      <c r="F11" s="1">
        <f t="shared" si="0"/>
        <v>0</v>
      </c>
      <c r="G11" s="1">
        <f t="shared" si="0"/>
        <v>1.582562009250714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62AE-4EE4-6949-B387-BBB768C0809A}">
  <dimension ref="A1:E22"/>
  <sheetViews>
    <sheetView workbookViewId="0">
      <selection activeCell="D24" sqref="D24"/>
    </sheetView>
  </sheetViews>
  <sheetFormatPr defaultColWidth="10.6640625" defaultRowHeight="15"/>
  <sheetData>
    <row r="1" spans="1:5">
      <c r="A1" t="s">
        <v>14</v>
      </c>
      <c r="B1">
        <v>1</v>
      </c>
      <c r="C1">
        <v>2</v>
      </c>
      <c r="D1">
        <v>3</v>
      </c>
      <c r="E1">
        <v>4</v>
      </c>
    </row>
    <row r="2" spans="1:5">
      <c r="A2">
        <v>0</v>
      </c>
      <c r="B2" s="1">
        <f t="shared" ref="B2:E16" si="0">_xlfn.LET(_xlpm.k,B$1,_xlpm.fij,$A2,(_xlpm.k+1)*_xlpm.fij/(_xlpm.fij+_xlpm.k))</f>
        <v>0</v>
      </c>
      <c r="C2" s="1">
        <f t="shared" si="0"/>
        <v>0</v>
      </c>
      <c r="D2" s="1">
        <f t="shared" si="0"/>
        <v>0</v>
      </c>
      <c r="E2" s="1">
        <f t="shared" si="0"/>
        <v>0</v>
      </c>
    </row>
    <row r="3" spans="1:5">
      <c r="A3">
        <v>1</v>
      </c>
      <c r="B3" s="1">
        <f t="shared" si="0"/>
        <v>1</v>
      </c>
      <c r="C3" s="1">
        <f t="shared" si="0"/>
        <v>1</v>
      </c>
      <c r="D3" s="1">
        <f t="shared" si="0"/>
        <v>1</v>
      </c>
      <c r="E3" s="1">
        <f t="shared" si="0"/>
        <v>1</v>
      </c>
    </row>
    <row r="4" spans="1:5">
      <c r="A4">
        <v>2</v>
      </c>
      <c r="B4" s="1">
        <f t="shared" si="0"/>
        <v>1.3333333333333333</v>
      </c>
      <c r="C4" s="1">
        <f t="shared" si="0"/>
        <v>1.5</v>
      </c>
      <c r="D4" s="1">
        <f t="shared" si="0"/>
        <v>1.6</v>
      </c>
      <c r="E4" s="1">
        <f t="shared" si="0"/>
        <v>1.6666666666666667</v>
      </c>
    </row>
    <row r="5" spans="1:5">
      <c r="A5">
        <v>3</v>
      </c>
      <c r="B5" s="1">
        <f t="shared" si="0"/>
        <v>1.5</v>
      </c>
      <c r="C5" s="1">
        <f t="shared" si="0"/>
        <v>1.8</v>
      </c>
      <c r="D5" s="1">
        <f t="shared" si="0"/>
        <v>2</v>
      </c>
      <c r="E5" s="1">
        <f t="shared" si="0"/>
        <v>2.1428571428571428</v>
      </c>
    </row>
    <row r="6" spans="1:5">
      <c r="A6">
        <v>4</v>
      </c>
      <c r="B6" s="1">
        <f t="shared" si="0"/>
        <v>1.6</v>
      </c>
      <c r="C6" s="1">
        <f t="shared" si="0"/>
        <v>2</v>
      </c>
      <c r="D6" s="1">
        <f t="shared" si="0"/>
        <v>2.2857142857142856</v>
      </c>
      <c r="E6" s="1">
        <f t="shared" si="0"/>
        <v>2.5</v>
      </c>
    </row>
    <row r="7" spans="1:5">
      <c r="A7">
        <v>5</v>
      </c>
      <c r="B7" s="1">
        <f t="shared" si="0"/>
        <v>1.6666666666666667</v>
      </c>
      <c r="C7" s="1">
        <f t="shared" si="0"/>
        <v>2.1428571428571428</v>
      </c>
      <c r="D7" s="1">
        <f t="shared" si="0"/>
        <v>2.5</v>
      </c>
      <c r="E7" s="1">
        <f t="shared" si="0"/>
        <v>2.7777777777777777</v>
      </c>
    </row>
    <row r="8" spans="1:5">
      <c r="A8">
        <v>6</v>
      </c>
      <c r="B8" s="1">
        <f t="shared" si="0"/>
        <v>1.7142857142857142</v>
      </c>
      <c r="C8" s="1">
        <f t="shared" si="0"/>
        <v>2.25</v>
      </c>
      <c r="D8" s="1">
        <f t="shared" si="0"/>
        <v>2.6666666666666665</v>
      </c>
      <c r="E8" s="1">
        <f t="shared" si="0"/>
        <v>3</v>
      </c>
    </row>
    <row r="9" spans="1:5">
      <c r="A9">
        <v>7</v>
      </c>
      <c r="B9" s="1">
        <f t="shared" si="0"/>
        <v>1.75</v>
      </c>
      <c r="C9" s="1">
        <f t="shared" si="0"/>
        <v>2.3333333333333335</v>
      </c>
      <c r="D9" s="1">
        <f t="shared" si="0"/>
        <v>2.8</v>
      </c>
      <c r="E9" s="1">
        <f t="shared" si="0"/>
        <v>3.1818181818181817</v>
      </c>
    </row>
    <row r="10" spans="1:5">
      <c r="A10">
        <v>8</v>
      </c>
      <c r="B10" s="1">
        <f t="shared" si="0"/>
        <v>1.7777777777777777</v>
      </c>
      <c r="C10" s="1">
        <f t="shared" si="0"/>
        <v>2.4</v>
      </c>
      <c r="D10" s="1">
        <f t="shared" si="0"/>
        <v>2.9090909090909092</v>
      </c>
      <c r="E10" s="1">
        <f t="shared" si="0"/>
        <v>3.3333333333333335</v>
      </c>
    </row>
    <row r="11" spans="1:5">
      <c r="A11">
        <v>9</v>
      </c>
      <c r="B11" s="1">
        <f t="shared" si="0"/>
        <v>1.8</v>
      </c>
      <c r="C11" s="1">
        <f t="shared" si="0"/>
        <v>2.4545454545454546</v>
      </c>
      <c r="D11" s="1">
        <f t="shared" si="0"/>
        <v>3</v>
      </c>
      <c r="E11" s="1">
        <f t="shared" si="0"/>
        <v>3.4615384615384617</v>
      </c>
    </row>
    <row r="12" spans="1:5">
      <c r="A12">
        <v>10</v>
      </c>
      <c r="B12" s="1">
        <f t="shared" si="0"/>
        <v>1.8181818181818181</v>
      </c>
      <c r="C12" s="1">
        <f t="shared" si="0"/>
        <v>2.5</v>
      </c>
      <c r="D12" s="1">
        <f t="shared" si="0"/>
        <v>3.0769230769230771</v>
      </c>
      <c r="E12" s="1">
        <f t="shared" si="0"/>
        <v>3.5714285714285716</v>
      </c>
    </row>
    <row r="13" spans="1:5">
      <c r="A13">
        <v>50</v>
      </c>
      <c r="B13" s="1">
        <f t="shared" si="0"/>
        <v>1.9607843137254901</v>
      </c>
      <c r="C13" s="1">
        <f t="shared" si="0"/>
        <v>2.8846153846153846</v>
      </c>
      <c r="D13" s="1">
        <f t="shared" si="0"/>
        <v>3.7735849056603774</v>
      </c>
      <c r="E13" s="1">
        <f t="shared" si="0"/>
        <v>4.6296296296296298</v>
      </c>
    </row>
    <row r="14" spans="1:5">
      <c r="A14">
        <v>100</v>
      </c>
      <c r="B14" s="1">
        <f t="shared" si="0"/>
        <v>1.9801980198019802</v>
      </c>
      <c r="C14" s="1">
        <f t="shared" si="0"/>
        <v>2.9411764705882355</v>
      </c>
      <c r="D14" s="1">
        <f t="shared" si="0"/>
        <v>3.883495145631068</v>
      </c>
      <c r="E14" s="1">
        <f t="shared" si="0"/>
        <v>4.8076923076923075</v>
      </c>
    </row>
    <row r="15" spans="1:5">
      <c r="A15">
        <v>1000</v>
      </c>
      <c r="B15" s="1">
        <f t="shared" si="0"/>
        <v>1.9980019980019981</v>
      </c>
      <c r="C15" s="1">
        <f t="shared" si="0"/>
        <v>2.9940119760479043</v>
      </c>
      <c r="D15" s="1">
        <f t="shared" si="0"/>
        <v>3.988035892323031</v>
      </c>
      <c r="E15" s="1">
        <f t="shared" si="0"/>
        <v>4.9800796812749004</v>
      </c>
    </row>
    <row r="16" spans="1:5">
      <c r="A16">
        <v>10000</v>
      </c>
      <c r="B16" s="1">
        <f t="shared" si="0"/>
        <v>1.9998000199980002</v>
      </c>
      <c r="C16" s="1">
        <f t="shared" si="0"/>
        <v>2.9994001199760048</v>
      </c>
      <c r="D16" s="1">
        <f t="shared" si="0"/>
        <v>3.9988003598920323</v>
      </c>
      <c r="E16" s="1">
        <f t="shared" si="0"/>
        <v>4.9980007996801277</v>
      </c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BM25 Calc</vt:lpstr>
      <vt:lpstr>Bij</vt:lpstr>
      <vt:lpstr>IDF</vt:lpstr>
      <vt:lpstr>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Seán Russell</dc:creator>
  <cp:lastModifiedBy>高 云瀚</cp:lastModifiedBy>
  <dcterms:created xsi:type="dcterms:W3CDTF">2025-03-20T23:47:37Z</dcterms:created>
  <dcterms:modified xsi:type="dcterms:W3CDTF">2025-03-24T02:12:44Z</dcterms:modified>
</cp:coreProperties>
</file>