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mc:AlternateContent xmlns:mc="http://schemas.openxmlformats.org/markup-compatibility/2006">
    <mc:Choice Requires="x15">
      <x15ac:absPath xmlns:x15ac="http://schemas.microsoft.com/office/spreadsheetml/2010/11/ac" url="/Users/daithi/cloud/BDIC/Information Retrieval - COMP3009J/Lectures/10-PageRank/"/>
    </mc:Choice>
  </mc:AlternateContent>
  <xr:revisionPtr revIDLastSave="0" documentId="13_ncr:1_{7267BAE8-4306-1248-8BD6-9B144F3EF224}" xr6:coauthVersionLast="47" xr6:coauthVersionMax="47" xr10:uidLastSave="{00000000-0000-0000-0000-000000000000}"/>
  <bookViews>
    <workbookView xWindow="0" yWindow="860" windowWidth="34200" windowHeight="21380" tabRatio="500" xr2:uid="{00000000-000D-0000-FFFF-FFFF00000000}"/>
  </bookViews>
  <sheets>
    <sheet name="Charts" sheetId="1" r:id="rId1"/>
    <sheet name="Workings"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2" l="1"/>
  <c r="C4" i="2"/>
  <c r="D2" i="2"/>
  <c r="C5" i="2"/>
  <c r="C3" i="2"/>
  <c r="D4" i="2"/>
  <c r="E2" i="2"/>
  <c r="F3" i="2" s="1"/>
  <c r="D5" i="2"/>
  <c r="E4" i="2" s="1"/>
  <c r="D3" i="2"/>
  <c r="E5" i="2"/>
  <c r="E3" i="2"/>
  <c r="F5" i="2"/>
  <c r="G5" i="2"/>
  <c r="H5" i="2"/>
  <c r="I5" i="2"/>
  <c r="J5" i="2"/>
  <c r="K5" i="2"/>
  <c r="L5" i="2"/>
  <c r="M5" i="2"/>
  <c r="N5" i="2"/>
  <c r="O5" i="2"/>
  <c r="P5" i="2"/>
  <c r="Q5" i="2"/>
  <c r="C6" i="2"/>
  <c r="E6" i="2" l="1"/>
  <c r="F2" i="2"/>
  <c r="G4" i="2"/>
  <c r="H2" i="2" s="1"/>
  <c r="D6" i="2"/>
  <c r="F4" i="2"/>
  <c r="G2" i="2" s="1"/>
  <c r="I3" i="2" l="1"/>
  <c r="F6" i="2"/>
  <c r="G3" i="2"/>
  <c r="H4" i="2" s="1"/>
  <c r="I2" i="2" s="1"/>
  <c r="H3" i="2"/>
  <c r="I4" i="2" s="1"/>
  <c r="J2" i="2" s="1"/>
  <c r="G6" i="2"/>
  <c r="J3" i="2" l="1"/>
  <c r="K4" i="2" s="1"/>
  <c r="L2" i="2" s="1"/>
  <c r="I6" i="2"/>
  <c r="K3" i="2"/>
  <c r="J4" i="2"/>
  <c r="K2" i="2" s="1"/>
  <c r="H6" i="2"/>
  <c r="L4" i="2" l="1"/>
  <c r="M2" i="2" s="1"/>
  <c r="J6" i="2"/>
  <c r="L3" i="2"/>
  <c r="M4" i="2" s="1"/>
  <c r="N2" i="2" s="1"/>
  <c r="K6" i="2"/>
  <c r="L6" i="2"/>
  <c r="M3" i="2"/>
  <c r="N4" i="2" s="1"/>
  <c r="O2" i="2" s="1"/>
  <c r="P3" i="2" l="1"/>
  <c r="O3" i="2"/>
  <c r="P4" i="2" s="1"/>
  <c r="Q2" i="2" s="1"/>
  <c r="N3" i="2"/>
  <c r="O4" i="2" s="1"/>
  <c r="P2" i="2" s="1"/>
  <c r="M6" i="2"/>
  <c r="Q3" i="2" l="1"/>
  <c r="P6" i="2"/>
  <c r="N6" i="2"/>
  <c r="Q4" i="2"/>
  <c r="Q6" i="2" s="1"/>
  <c r="O6" i="2"/>
</calcChain>
</file>

<file path=xl/sharedStrings.xml><?xml version="1.0" encoding="utf-8"?>
<sst xmlns="http://schemas.openxmlformats.org/spreadsheetml/2006/main" count="5" uniqueCount="5">
  <si>
    <t>A</t>
  </si>
  <si>
    <t>B</t>
  </si>
  <si>
    <t>C</t>
  </si>
  <si>
    <t>D</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</si>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</sst>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Workings!$A$2</c:f>
              <c:strCache>
                <c:ptCount val="1"/>
                <c:pt idx="0">
                  <c:v>A</c:v>
                </c:pt>
              </c:strCache>
            </c:strRef>
          </c:tx>
          <c:spPr>
            <a:ln w="28575" cap="rnd">
              <a:solidFill>
                <a:schemeClr val="accent1"/>
              </a:solidFill>
              <a:round/>
            </a:ln>
            <a:effectLst/>
          </c:spPr>
          <c:marker>
            <c:symbol val="none"/>
          </c:marker>
          <c:cat>
            <c:numRef>
              <c:f>Workings!$B$1:$Q$1</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Workings!$B$2:$Q$2</c:f>
              <c:numCache>
                <c:formatCode>General</c:formatCode>
                <c:ptCount val="16"/>
                <c:pt idx="0">
                  <c:v>1</c:v>
                </c:pt>
                <c:pt idx="1">
                  <c:v>1</c:v>
                </c:pt>
                <c:pt idx="2">
                  <c:v>2.0837499999999998</c:v>
                </c:pt>
                <c:pt idx="3">
                  <c:v>1.1625624999999997</c:v>
                </c:pt>
                <c:pt idx="4">
                  <c:v>1.5540671874999996</c:v>
                </c:pt>
                <c:pt idx="5">
                  <c:v>1.5540671874999996</c:v>
                </c:pt>
                <c:pt idx="6">
                  <c:v>1.4126361191406245</c:v>
                </c:pt>
                <c:pt idx="7">
                  <c:v>1.5328525272460933</c:v>
                </c:pt>
                <c:pt idx="8">
                  <c:v>1.481760553801269</c:v>
                </c:pt>
                <c:pt idx="9">
                  <c:v>1.481760553801269</c:v>
                </c:pt>
                <c:pt idx="10">
                  <c:v>1.5002175292082118</c:v>
                </c:pt>
                <c:pt idx="11">
                  <c:v>1.4845291001123104</c:v>
                </c:pt>
                <c:pt idx="12">
                  <c:v>1.4911966824780685</c:v>
                </c:pt>
                <c:pt idx="13">
                  <c:v>1.4911966824780685</c:v>
                </c:pt>
                <c:pt idx="14">
                  <c:v>1.4887880183484383</c:v>
                </c:pt>
                <c:pt idx="15">
                  <c:v>1.490835382858624</c:v>
                </c:pt>
              </c:numCache>
            </c:numRef>
          </c:val>
          <c:smooth val="0"/>
          <c:extLst>
            <c:ext xmlns:c16="http://schemas.microsoft.com/office/drawing/2014/chart" uri="{C3380CC4-5D6E-409C-BE32-E72D297353CC}">
              <c16:uniqueId val="{00000000-BCC5-174E-B051-52E5CF621B77}"/>
            </c:ext>
          </c:extLst>
        </c:ser>
        <c:ser>
          <c:idx val="1"/>
          <c:order val="1"/>
          <c:tx>
            <c:strRef>
              <c:f>Workings!$A$3</c:f>
              <c:strCache>
                <c:ptCount val="1"/>
                <c:pt idx="0">
                  <c:v>B</c:v>
                </c:pt>
              </c:strCache>
            </c:strRef>
          </c:tx>
          <c:spPr>
            <a:ln w="28575" cap="rnd">
              <a:solidFill>
                <a:schemeClr val="accent2"/>
              </a:solidFill>
              <a:round/>
            </a:ln>
            <a:effectLst/>
          </c:spPr>
          <c:marker>
            <c:symbol val="none"/>
          </c:marker>
          <c:cat>
            <c:numRef>
              <c:f>Workings!$B$1:$Q$1</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Workings!$B$3:$Q$3</c:f>
              <c:numCache>
                <c:formatCode>General</c:formatCode>
                <c:ptCount val="16"/>
                <c:pt idx="0">
                  <c:v>1</c:v>
                </c:pt>
                <c:pt idx="1">
                  <c:v>0.57499999999999996</c:v>
                </c:pt>
                <c:pt idx="2">
                  <c:v>0.57499999999999996</c:v>
                </c:pt>
                <c:pt idx="3">
                  <c:v>1.0355937499999999</c:v>
                </c:pt>
                <c:pt idx="4">
                  <c:v>0.64408906249999986</c:v>
                </c:pt>
                <c:pt idx="5">
                  <c:v>0.81047855468749985</c:v>
                </c:pt>
                <c:pt idx="6">
                  <c:v>0.81047855468749985</c:v>
                </c:pt>
                <c:pt idx="7">
                  <c:v>0.75037035063476543</c:v>
                </c:pt>
                <c:pt idx="8">
                  <c:v>0.80146232407958962</c:v>
                </c:pt>
                <c:pt idx="9">
                  <c:v>0.77974823536553939</c:v>
                </c:pt>
                <c:pt idx="10">
                  <c:v>0.77974823536553939</c:v>
                </c:pt>
                <c:pt idx="11">
                  <c:v>0.78759244991348998</c:v>
                </c:pt>
                <c:pt idx="12">
                  <c:v>0.78092486754773194</c:v>
                </c:pt>
                <c:pt idx="13">
                  <c:v>0.78375859005317916</c:v>
                </c:pt>
                <c:pt idx="14">
                  <c:v>0.78375859005317916</c:v>
                </c:pt>
                <c:pt idx="15">
                  <c:v>0.7827349077980863</c:v>
                </c:pt>
              </c:numCache>
            </c:numRef>
          </c:val>
          <c:smooth val="0"/>
          <c:extLst>
            <c:ext xmlns:c16="http://schemas.microsoft.com/office/drawing/2014/chart" uri="{C3380CC4-5D6E-409C-BE32-E72D297353CC}">
              <c16:uniqueId val="{00000001-BCC5-174E-B051-52E5CF621B77}"/>
            </c:ext>
          </c:extLst>
        </c:ser>
        <c:ser>
          <c:idx val="2"/>
          <c:order val="2"/>
          <c:tx>
            <c:strRef>
              <c:f>Workings!$A$4</c:f>
              <c:strCache>
                <c:ptCount val="1"/>
                <c:pt idx="0">
                  <c:v>C</c:v>
                </c:pt>
              </c:strCache>
            </c:strRef>
          </c:tx>
          <c:spPr>
            <a:ln w="28575" cap="rnd">
              <a:solidFill>
                <a:schemeClr val="accent3"/>
              </a:solidFill>
              <a:round/>
            </a:ln>
            <a:effectLst/>
          </c:spPr>
          <c:marker>
            <c:symbol val="none"/>
          </c:marker>
          <c:cat>
            <c:numRef>
              <c:f>Workings!$B$1:$Q$1</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Workings!$B$4:$Q$4</c:f>
              <c:numCache>
                <c:formatCode>General</c:formatCode>
                <c:ptCount val="16"/>
                <c:pt idx="0">
                  <c:v>1</c:v>
                </c:pt>
                <c:pt idx="1">
                  <c:v>2.2749999999999999</c:v>
                </c:pt>
                <c:pt idx="2">
                  <c:v>1.1912499999999999</c:v>
                </c:pt>
                <c:pt idx="3">
                  <c:v>1.6518437499999996</c:v>
                </c:pt>
                <c:pt idx="4">
                  <c:v>1.6518437499999996</c:v>
                </c:pt>
                <c:pt idx="5">
                  <c:v>1.4854542578124996</c:v>
                </c:pt>
                <c:pt idx="6">
                  <c:v>1.6268853261718748</c:v>
                </c:pt>
                <c:pt idx="7">
                  <c:v>1.5667771221191402</c:v>
                </c:pt>
                <c:pt idx="8">
                  <c:v>1.5667771221191402</c:v>
                </c:pt>
                <c:pt idx="9">
                  <c:v>1.5884912108331906</c:v>
                </c:pt>
                <c:pt idx="10">
                  <c:v>1.5700342354262478</c:v>
                </c:pt>
                <c:pt idx="11">
                  <c:v>1.5778784499741985</c:v>
                </c:pt>
                <c:pt idx="12">
                  <c:v>1.5778784499741985</c:v>
                </c:pt>
                <c:pt idx="13">
                  <c:v>1.5750447274687511</c:v>
                </c:pt>
                <c:pt idx="14">
                  <c:v>1.5774533915983813</c:v>
                </c:pt>
                <c:pt idx="15">
                  <c:v>1.5764297093432884</c:v>
                </c:pt>
              </c:numCache>
            </c:numRef>
          </c:val>
          <c:smooth val="0"/>
          <c:extLst>
            <c:ext xmlns:c16="http://schemas.microsoft.com/office/drawing/2014/chart" uri="{C3380CC4-5D6E-409C-BE32-E72D297353CC}">
              <c16:uniqueId val="{00000002-BCC5-174E-B051-52E5CF621B77}"/>
            </c:ext>
          </c:extLst>
        </c:ser>
        <c:ser>
          <c:idx val="3"/>
          <c:order val="3"/>
          <c:tx>
            <c:strRef>
              <c:f>Workings!$A$5</c:f>
              <c:strCache>
                <c:ptCount val="1"/>
                <c:pt idx="0">
                  <c:v>D</c:v>
                </c:pt>
              </c:strCache>
            </c:strRef>
          </c:tx>
          <c:spPr>
            <a:ln w="28575" cap="rnd">
              <a:solidFill>
                <a:schemeClr val="accent4"/>
              </a:solidFill>
              <a:round/>
            </a:ln>
            <a:effectLst/>
          </c:spPr>
          <c:marker>
            <c:symbol val="none"/>
          </c:marker>
          <c:cat>
            <c:numRef>
              <c:f>Workings!$B$1:$Q$1</c:f>
              <c:numCache>
                <c:formatCode>General</c:formatCod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numCache>
            </c:numRef>
          </c:cat>
          <c:val>
            <c:numRef>
              <c:f>Workings!$B$5:$Q$5</c:f>
              <c:numCache>
                <c:formatCode>General</c:formatCode>
                <c:ptCount val="16"/>
                <c:pt idx="0">
                  <c:v>1</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numCache>
            </c:numRef>
          </c:val>
          <c:smooth val="0"/>
          <c:extLst>
            <c:ext xmlns:c16="http://schemas.microsoft.com/office/drawing/2014/chart" uri="{C3380CC4-5D6E-409C-BE32-E72D297353CC}">
              <c16:uniqueId val="{00000003-BCC5-174E-B051-52E5CF621B77}"/>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768076800"/>
        <c:axId val="-1804899888"/>
      </c:lineChart>
      <c:catAx>
        <c:axId val="-176807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Iteration</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899888"/>
        <c:crosses val="autoZero"/>
        <c:auto val="1"/>
        <c:lblAlgn val="ctr"/>
        <c:lblOffset val="100"/>
        <c:noMultiLvlLbl val="0"/>
      </c:catAx>
      <c:valAx>
        <c:axId val="-180489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PageRank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7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Workings!$A$6</c:f>
              <c:strCache>
                <c:ptCount val="1"/>
                <c:pt idx="0">
                  <c:v>Difference</c:v>
                </c:pt>
              </c:strCache>
            </c:strRef>
          </c:tx>
          <c:spPr>
            <a:ln w="28575" cap="rnd">
              <a:solidFill>
                <a:schemeClr val="accent1"/>
              </a:solidFill>
              <a:round/>
            </a:ln>
            <a:effectLst/>
          </c:spPr>
          <c:marker>
            <c:symbol val="none"/>
          </c:marker>
          <c:val>
            <c:numRef>
              <c:f>Workings!$B$6:$Q$6</c:f>
              <c:numCache>
                <c:formatCode>General</c:formatCode>
                <c:ptCount val="16"/>
                <c:pt idx="1">
                  <c:v>2.5499999999999998</c:v>
                </c:pt>
                <c:pt idx="2">
                  <c:v>2.1674999999999995</c:v>
                </c:pt>
                <c:pt idx="3">
                  <c:v>1.8423749999999997</c:v>
                </c:pt>
                <c:pt idx="4">
                  <c:v>0.7830093749999999</c:v>
                </c:pt>
                <c:pt idx="5">
                  <c:v>0.33277898437499998</c:v>
                </c:pt>
                <c:pt idx="6">
                  <c:v>0.28286213671875027</c:v>
                </c:pt>
                <c:pt idx="7">
                  <c:v>0.24043281621093782</c:v>
                </c:pt>
                <c:pt idx="8">
                  <c:v>0.10218394688964849</c:v>
                </c:pt>
                <c:pt idx="9">
                  <c:v>4.3428177428100567E-2</c:v>
                </c:pt>
                <c:pt idx="10">
                  <c:v>3.6913950813885599E-2</c:v>
                </c:pt>
                <c:pt idx="11">
                  <c:v>3.1376858191802692E-2</c:v>
                </c:pt>
                <c:pt idx="12">
                  <c:v>1.333516473151608E-2</c:v>
                </c:pt>
                <c:pt idx="13">
                  <c:v>5.6674450108945562E-3</c:v>
                </c:pt>
                <c:pt idx="14">
                  <c:v>4.8173282592602895E-3</c:v>
                </c:pt>
                <c:pt idx="15">
                  <c:v>4.0947290203714459E-3</c:v>
                </c:pt>
              </c:numCache>
            </c:numRef>
          </c:val>
          <c:smooth val="0"/>
          <c:extLst>
            <c:ext xmlns:c16="http://schemas.microsoft.com/office/drawing/2014/chart" uri="{C3380CC4-5D6E-409C-BE32-E72D297353CC}">
              <c16:uniqueId val="{00000000-6905-6F42-9E50-929956D4DC07}"/>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804012000"/>
        <c:axId val="-1805209888"/>
      </c:lineChart>
      <c:catAx>
        <c:axId val="-180401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09888"/>
        <c:crosses val="autoZero"/>
        <c:auto val="1"/>
        <c:lblAlgn val="ctr"/>
        <c:lblOffset val="100"/>
        <c:noMultiLvlLbl val="0"/>
      </c:catAx>
      <c:valAx>
        <c:axId val="-1805209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PageRank difference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1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152400</xdr:rowOff>
    </xdr:from>
    <xdr:to>
      <xdr:col>12</xdr:col>
      <xdr:colOff>292100</xdr:colOff>
      <xdr:row>51</xdr:row>
      <xdr:rowOff>190500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16</xdr:row>
      <xdr:rowOff>152400</xdr:rowOff>
    </xdr:from>
    <xdr:to>
      <xdr:col>20</xdr:col>
      <xdr:colOff>431800</xdr:colOff>
      <xdr:row>36</xdr:row>
      <xdr:rowOff>63500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11</xdr:col>
      <xdr:colOff>419100</xdr:colOff>
      <xdr:row>16</xdr:row>
      <xdr:rowOff>139700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9499600" cy="339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PageRank Example</a:t>
          </a:r>
        </a:p>
        <a:p>
          <a:endParaRPr lang="en-US" sz="1100"/>
        </a:p>
        <a:p>
          <a:r>
            <a:rPr lang="en-US" sz="1100"/>
            <a:t>This file shows the workings for the 4-page</a:t>
          </a:r>
          <a:r>
            <a:rPr lang="en-US" sz="1100" baseline="0"/>
            <a:t> PageRank example in the lecture slides. All workings are contained in the "Workings" workbook.</a:t>
          </a:r>
        </a:p>
        <a:p>
          <a:endParaRPr lang="en-US" sz="1100" baseline="0"/>
        </a:p>
        <a:p>
          <a:r>
            <a:rPr lang="en-US" sz="1100" baseline="0"/>
            <a:t>The chart on the left shows the PageRank for each of 4 pages (A, B, C, D) on each iteration. Note how the PageRank for each page is set to 1 initially for iteration 0.</a:t>
          </a:r>
        </a:p>
        <a:p>
          <a:endParaRPr lang="en-US" sz="1100" baseline="0"/>
        </a:p>
        <a:p>
          <a:r>
            <a:rPr lang="en-US" sz="1100" baseline="0"/>
            <a:t>The graph structure is:</a:t>
          </a:r>
        </a:p>
        <a:p>
          <a:r>
            <a:rPr lang="en-US" sz="1100" baseline="0"/>
            <a:t>A --&gt; B and C</a:t>
          </a:r>
        </a:p>
        <a:p>
          <a:r>
            <a:rPr lang="en-US" sz="1100" baseline="0"/>
            <a:t>B --&gt; C</a:t>
          </a:r>
        </a:p>
        <a:p>
          <a:r>
            <a:rPr lang="en-US" sz="1100" baseline="0"/>
            <a:t>C --&gt; A</a:t>
          </a:r>
        </a:p>
        <a:p>
          <a:r>
            <a:rPr lang="en-US" sz="1100" baseline="0"/>
            <a:t>D --&gt; C</a:t>
          </a:r>
        </a:p>
        <a:p>
          <a:endParaRPr lang="en-US" sz="1100" baseline="0"/>
        </a:p>
        <a:p>
          <a:r>
            <a:rPr lang="en-US" sz="1100" baseline="0"/>
            <a:t>During the first few iterations, the PageRank scores change dramatically (e.g. the highest PageRank changes between A and C at first).</a:t>
          </a:r>
        </a:p>
        <a:p>
          <a:endParaRPr lang="en-US" sz="1100" baseline="0"/>
        </a:p>
        <a:p>
          <a:r>
            <a:rPr lang="en-US" sz="1100" baseline="0"/>
            <a:t>After the 9th iteration, the PageRank scores have converged so that they do not change much for further iterations.</a:t>
          </a:r>
        </a:p>
        <a:p>
          <a:endParaRPr lang="en-US" sz="1100" baseline="0"/>
        </a:p>
        <a:p>
          <a:r>
            <a:rPr lang="en-US" sz="1100" baseline="0"/>
            <a:t>The chart on the right shows the sum of the difference of all PageRank. Note how this decreases as more iterations are performed. We can stop recalculating PageRank once this has reached an acceptable level.</a:t>
          </a: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A37" sqref="A37"/>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
  <sheetViews>
    <sheetView workbookViewId="0">
      <selection activeCell="E3" sqref="E3"/>
    </sheetView>
  </sheetViews>
  <sheetFormatPr baseColWidth="10" defaultRowHeight="16" x14ac:dyDescent="0.2"/>
  <sheetData>
    <row r="1" spans="1:17" x14ac:dyDescent="0.2">
      <c r="B1">
        <v>0</v>
      </c>
      <c r="C1">
        <v>1</v>
      </c>
      <c r="D1">
        <v>2</v>
      </c>
      <c r="E1">
        <v>3</v>
      </c>
      <c r="F1">
        <v>4</v>
      </c>
      <c r="G1">
        <v>5</v>
      </c>
      <c r="H1">
        <v>6</v>
      </c>
      <c r="I1">
        <v>7</v>
      </c>
      <c r="J1">
        <v>8</v>
      </c>
      <c r="K1">
        <v>9</v>
      </c>
      <c r="L1">
        <v>10</v>
      </c>
      <c r="M1">
        <v>11</v>
      </c>
      <c r="N1">
        <v>12</v>
      </c>
      <c r="O1">
        <v>13</v>
      </c>
      <c r="P1">
        <v>14</v>
      </c>
      <c r="Q1">
        <v>15</v>
      </c>
    </row>
    <row r="2" spans="1:17" x14ac:dyDescent="0.2">
      <c r="A2" t="s">
        <v>0</v>
      </c>
      <c r="B2" s="1">
        <v>1</v>
      </c>
      <c r="C2" s="2">
        <f t="shared" ref="C2:Q2" si="0">0.15+0.85*(B4)</f>
        <v>1</v>
      </c>
      <c r="D2" s="2">
        <f t="shared" si="0"/>
        <v>2.0837499999999998</v>
      </c>
      <c r="E2" s="2">
        <f t="shared" si="0"/>
        <v>1.1625624999999997</v>
      </c>
      <c r="F2" s="2">
        <f t="shared" si="0"/>
        <v>1.5540671874999996</v>
      </c>
      <c r="G2" s="2">
        <f t="shared" si="0"/>
        <v>1.5540671874999996</v>
      </c>
      <c r="H2" s="2">
        <f t="shared" si="0"/>
        <v>1.4126361191406245</v>
      </c>
      <c r="I2" s="2">
        <f t="shared" si="0"/>
        <v>1.5328525272460933</v>
      </c>
      <c r="J2" s="2">
        <f t="shared" si="0"/>
        <v>1.481760553801269</v>
      </c>
      <c r="K2" s="2">
        <f t="shared" si="0"/>
        <v>1.481760553801269</v>
      </c>
      <c r="L2" s="2">
        <f t="shared" si="0"/>
        <v>1.5002175292082118</v>
      </c>
      <c r="M2" s="2">
        <f t="shared" si="0"/>
        <v>1.4845291001123104</v>
      </c>
      <c r="N2" s="2">
        <f t="shared" si="0"/>
        <v>1.4911966824780685</v>
      </c>
      <c r="O2" s="2">
        <f t="shared" si="0"/>
        <v>1.4911966824780685</v>
      </c>
      <c r="P2" s="2">
        <f t="shared" si="0"/>
        <v>1.4887880183484383</v>
      </c>
      <c r="Q2" s="3">
        <f t="shared" si="0"/>
        <v>1.490835382858624</v>
      </c>
    </row>
    <row r="3" spans="1:17" x14ac:dyDescent="0.2">
      <c r="A3" t="s">
        <v>1</v>
      </c>
      <c r="B3" s="4">
        <v>1</v>
      </c>
      <c r="C3">
        <f t="shared" ref="C3:Q3" si="1">0.15+0.85*(B2/2)</f>
        <v>0.57499999999999996</v>
      </c>
      <c r="D3">
        <f t="shared" si="1"/>
        <v>0.57499999999999996</v>
      </c>
      <c r="E3">
        <f t="shared" si="1"/>
        <v>1.0355937499999999</v>
      </c>
      <c r="F3">
        <f t="shared" si="1"/>
        <v>0.64408906249999986</v>
      </c>
      <c r="G3">
        <f t="shared" si="1"/>
        <v>0.81047855468749985</v>
      </c>
      <c r="H3">
        <f t="shared" si="1"/>
        <v>0.81047855468749985</v>
      </c>
      <c r="I3">
        <f t="shared" si="1"/>
        <v>0.75037035063476543</v>
      </c>
      <c r="J3">
        <f t="shared" si="1"/>
        <v>0.80146232407958962</v>
      </c>
      <c r="K3">
        <f t="shared" si="1"/>
        <v>0.77974823536553939</v>
      </c>
      <c r="L3">
        <f t="shared" si="1"/>
        <v>0.77974823536553939</v>
      </c>
      <c r="M3">
        <f t="shared" si="1"/>
        <v>0.78759244991348998</v>
      </c>
      <c r="N3">
        <f t="shared" si="1"/>
        <v>0.78092486754773194</v>
      </c>
      <c r="O3">
        <f t="shared" si="1"/>
        <v>0.78375859005317916</v>
      </c>
      <c r="P3">
        <f t="shared" si="1"/>
        <v>0.78375859005317916</v>
      </c>
      <c r="Q3" s="5">
        <f t="shared" si="1"/>
        <v>0.7827349077980863</v>
      </c>
    </row>
    <row r="4" spans="1:17" x14ac:dyDescent="0.2">
      <c r="A4" t="s">
        <v>2</v>
      </c>
      <c r="B4" s="4">
        <v>1</v>
      </c>
      <c r="C4">
        <f t="shared" ref="C4:Q4" si="2">0.15+0.85*(B5+B3+B2/2)</f>
        <v>2.2749999999999999</v>
      </c>
      <c r="D4">
        <f t="shared" si="2"/>
        <v>1.1912499999999999</v>
      </c>
      <c r="E4">
        <f t="shared" si="2"/>
        <v>1.6518437499999996</v>
      </c>
      <c r="F4">
        <f t="shared" si="2"/>
        <v>1.6518437499999996</v>
      </c>
      <c r="G4">
        <f t="shared" si="2"/>
        <v>1.4854542578124996</v>
      </c>
      <c r="H4">
        <f t="shared" si="2"/>
        <v>1.6268853261718748</v>
      </c>
      <c r="I4">
        <f t="shared" si="2"/>
        <v>1.5667771221191402</v>
      </c>
      <c r="J4">
        <f t="shared" si="2"/>
        <v>1.5667771221191402</v>
      </c>
      <c r="K4">
        <f t="shared" si="2"/>
        <v>1.5884912108331906</v>
      </c>
      <c r="L4">
        <f t="shared" si="2"/>
        <v>1.5700342354262478</v>
      </c>
      <c r="M4">
        <f t="shared" si="2"/>
        <v>1.5778784499741985</v>
      </c>
      <c r="N4">
        <f t="shared" si="2"/>
        <v>1.5778784499741985</v>
      </c>
      <c r="O4">
        <f t="shared" si="2"/>
        <v>1.5750447274687511</v>
      </c>
      <c r="P4">
        <f t="shared" si="2"/>
        <v>1.5774533915983813</v>
      </c>
      <c r="Q4" s="5">
        <f t="shared" si="2"/>
        <v>1.5764297093432884</v>
      </c>
    </row>
    <row r="5" spans="1:17" x14ac:dyDescent="0.2">
      <c r="A5" t="s">
        <v>3</v>
      </c>
      <c r="B5" s="6">
        <v>1</v>
      </c>
      <c r="C5" s="7">
        <f t="shared" ref="C5:Q5" si="3">0.15</f>
        <v>0.15</v>
      </c>
      <c r="D5" s="7">
        <f t="shared" si="3"/>
        <v>0.15</v>
      </c>
      <c r="E5" s="7">
        <f t="shared" si="3"/>
        <v>0.15</v>
      </c>
      <c r="F5" s="7">
        <f t="shared" si="3"/>
        <v>0.15</v>
      </c>
      <c r="G5" s="7">
        <f t="shared" si="3"/>
        <v>0.15</v>
      </c>
      <c r="H5" s="7">
        <f t="shared" si="3"/>
        <v>0.15</v>
      </c>
      <c r="I5" s="7">
        <f t="shared" si="3"/>
        <v>0.15</v>
      </c>
      <c r="J5" s="7">
        <f t="shared" si="3"/>
        <v>0.15</v>
      </c>
      <c r="K5" s="7">
        <f t="shared" si="3"/>
        <v>0.15</v>
      </c>
      <c r="L5" s="7">
        <f t="shared" si="3"/>
        <v>0.15</v>
      </c>
      <c r="M5" s="7">
        <f t="shared" si="3"/>
        <v>0.15</v>
      </c>
      <c r="N5" s="7">
        <f t="shared" si="3"/>
        <v>0.15</v>
      </c>
      <c r="O5" s="7">
        <f t="shared" si="3"/>
        <v>0.15</v>
      </c>
      <c r="P5" s="7">
        <f t="shared" si="3"/>
        <v>0.15</v>
      </c>
      <c r="Q5" s="8">
        <f t="shared" si="3"/>
        <v>0.15</v>
      </c>
    </row>
    <row r="6" spans="1:17" x14ac:dyDescent="0.2">
      <c r="A6" t="s">
        <v>4</v>
      </c>
      <c r="C6">
        <f t="shared" ref="C6:Q6" si="4">SUM(ABS(C2-B2),ABS(C3-B3),ABS(C4-B4),ABS(C5-B5))</f>
        <v>2.5499999999999998</v>
      </c>
      <c r="D6">
        <f t="shared" si="4"/>
        <v>2.1674999999999995</v>
      </c>
      <c r="E6">
        <f t="shared" si="4"/>
        <v>1.8423749999999997</v>
      </c>
      <c r="F6">
        <f t="shared" si="4"/>
        <v>0.7830093749999999</v>
      </c>
      <c r="G6">
        <f t="shared" si="4"/>
        <v>0.33277898437499998</v>
      </c>
      <c r="H6">
        <f t="shared" si="4"/>
        <v>0.28286213671875027</v>
      </c>
      <c r="I6">
        <f t="shared" si="4"/>
        <v>0.24043281621093782</v>
      </c>
      <c r="J6">
        <f t="shared" si="4"/>
        <v>0.10218394688964849</v>
      </c>
      <c r="K6">
        <f t="shared" si="4"/>
        <v>4.3428177428100567E-2</v>
      </c>
      <c r="L6">
        <f t="shared" si="4"/>
        <v>3.6913950813885599E-2</v>
      </c>
      <c r="M6">
        <f t="shared" si="4"/>
        <v>3.1376858191802692E-2</v>
      </c>
      <c r="N6">
        <f t="shared" si="4"/>
        <v>1.333516473151608E-2</v>
      </c>
      <c r="O6">
        <f t="shared" si="4"/>
        <v>5.6674450108945562E-3</v>
      </c>
      <c r="P6">
        <f t="shared" si="4"/>
        <v>4.8173282592602895E-3</v>
      </c>
      <c r="Q6">
        <f t="shared" si="4"/>
        <v>4.0947290203714459E-3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Charts</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Lillis</cp:lastModifiedBy>
  <dcterms:created xsi:type="dcterms:W3CDTF">2017-05-08T23:51:51Z</dcterms:created>
  <dcterms:modified xsi:type="dcterms:W3CDTF">2024-05-12T23:44:21Z</dcterms:modified>
</cp:coreProperties>
</file>